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FCEA3C51-FE69-4DC1-93C7-65D58E164715}" xr6:coauthVersionLast="47" xr6:coauthVersionMax="47" xr10:uidLastSave="{00000000-0000-0000-0000-000000000000}"/>
  <bookViews>
    <workbookView xWindow="-120" yWindow="-120" windowWidth="29040" windowHeight="16440" xr2:uid="{098D8A96-DFB1-42AC-89AA-2B03AE2AC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E15" i="1"/>
  <c r="I3" i="1"/>
  <c r="I11" i="1"/>
  <c r="I14" i="1"/>
  <c r="I20" i="1"/>
  <c r="I23" i="1"/>
  <c r="I28" i="1"/>
  <c r="I31" i="1"/>
  <c r="I36" i="1"/>
  <c r="I37" i="1"/>
  <c r="I39" i="1"/>
  <c r="I44" i="1"/>
  <c r="I45" i="1"/>
  <c r="I47" i="1"/>
  <c r="I52" i="1"/>
  <c r="I53" i="1"/>
  <c r="I55" i="1"/>
  <c r="H58" i="1"/>
  <c r="G58" i="1"/>
  <c r="I58" i="1" s="1"/>
  <c r="H57" i="1"/>
  <c r="G57" i="1"/>
  <c r="I57" i="1" s="1"/>
  <c r="H56" i="1"/>
  <c r="G56" i="1"/>
  <c r="I56" i="1" s="1"/>
  <c r="H55" i="1"/>
  <c r="G55" i="1"/>
  <c r="H54" i="1"/>
  <c r="G54" i="1"/>
  <c r="I54" i="1" s="1"/>
  <c r="H53" i="1"/>
  <c r="G53" i="1"/>
  <c r="H52" i="1"/>
  <c r="G52" i="1"/>
  <c r="H51" i="1"/>
  <c r="G51" i="1"/>
  <c r="I51" i="1" s="1"/>
  <c r="H50" i="1"/>
  <c r="G50" i="1"/>
  <c r="I50" i="1" s="1"/>
  <c r="H49" i="1"/>
  <c r="G49" i="1"/>
  <c r="I49" i="1" s="1"/>
  <c r="H48" i="1"/>
  <c r="G48" i="1"/>
  <c r="I48" i="1" s="1"/>
  <c r="H47" i="1"/>
  <c r="G47" i="1"/>
  <c r="H46" i="1"/>
  <c r="G46" i="1"/>
  <c r="I46" i="1" s="1"/>
  <c r="H45" i="1"/>
  <c r="G45" i="1"/>
  <c r="H44" i="1"/>
  <c r="G44" i="1"/>
  <c r="H43" i="1"/>
  <c r="G43" i="1"/>
  <c r="I43" i="1" s="1"/>
  <c r="H42" i="1"/>
  <c r="G42" i="1"/>
  <c r="I42" i="1" s="1"/>
  <c r="H41" i="1"/>
  <c r="G41" i="1"/>
  <c r="I41" i="1" s="1"/>
  <c r="H40" i="1"/>
  <c r="G40" i="1"/>
  <c r="I40" i="1" s="1"/>
  <c r="H39" i="1"/>
  <c r="G39" i="1"/>
  <c r="H38" i="1"/>
  <c r="G38" i="1"/>
  <c r="I38" i="1" s="1"/>
  <c r="H37" i="1"/>
  <c r="G37" i="1"/>
  <c r="H36" i="1"/>
  <c r="G36" i="1"/>
  <c r="H35" i="1"/>
  <c r="G35" i="1"/>
  <c r="I35" i="1" s="1"/>
  <c r="H34" i="1"/>
  <c r="G34" i="1"/>
  <c r="I34" i="1" s="1"/>
  <c r="H33" i="1"/>
  <c r="G33" i="1"/>
  <c r="I33" i="1" s="1"/>
  <c r="H32" i="1"/>
  <c r="G32" i="1"/>
  <c r="I32" i="1" s="1"/>
  <c r="H31" i="1"/>
  <c r="G31" i="1"/>
  <c r="H30" i="1"/>
  <c r="G30" i="1"/>
  <c r="I30" i="1" s="1"/>
  <c r="H29" i="1"/>
  <c r="G29" i="1"/>
  <c r="I29" i="1" s="1"/>
  <c r="H28" i="1"/>
  <c r="G28" i="1"/>
  <c r="H27" i="1"/>
  <c r="G27" i="1"/>
  <c r="I27" i="1" s="1"/>
  <c r="H26" i="1"/>
  <c r="G26" i="1"/>
  <c r="I26" i="1" s="1"/>
  <c r="H25" i="1"/>
  <c r="G25" i="1"/>
  <c r="I25" i="1" s="1"/>
  <c r="H24" i="1"/>
  <c r="G24" i="1"/>
  <c r="I24" i="1" s="1"/>
  <c r="H23" i="1"/>
  <c r="G23" i="1"/>
  <c r="H22" i="1"/>
  <c r="G22" i="1"/>
  <c r="I22" i="1" s="1"/>
  <c r="H21" i="1"/>
  <c r="G21" i="1"/>
  <c r="I21" i="1" s="1"/>
  <c r="H20" i="1"/>
  <c r="G20" i="1"/>
  <c r="H19" i="1"/>
  <c r="G19" i="1"/>
  <c r="I19" i="1" s="1"/>
  <c r="H18" i="1"/>
  <c r="G18" i="1"/>
  <c r="I18" i="1" s="1"/>
  <c r="H17" i="1"/>
  <c r="G17" i="1"/>
  <c r="I17" i="1" s="1"/>
  <c r="H16" i="1"/>
  <c r="G16" i="1"/>
  <c r="I16" i="1" s="1"/>
  <c r="H14" i="1"/>
  <c r="G14" i="1"/>
  <c r="H13" i="1"/>
  <c r="G13" i="1"/>
  <c r="I13" i="1" s="1"/>
  <c r="H12" i="1"/>
  <c r="G12" i="1"/>
  <c r="I12" i="1" s="1"/>
  <c r="H11" i="1"/>
  <c r="G11" i="1"/>
  <c r="H10" i="1"/>
  <c r="G10" i="1"/>
  <c r="I10" i="1" s="1"/>
  <c r="H9" i="1"/>
  <c r="G9" i="1"/>
  <c r="I9" i="1" s="1"/>
  <c r="H8" i="1"/>
  <c r="G8" i="1"/>
  <c r="I8" i="1" s="1"/>
  <c r="H7" i="1"/>
  <c r="G7" i="1"/>
  <c r="I7" i="1" s="1"/>
  <c r="H6" i="1"/>
  <c r="G6" i="1"/>
  <c r="I6" i="1" s="1"/>
  <c r="H5" i="1"/>
  <c r="G5" i="1"/>
  <c r="I5" i="1" s="1"/>
  <c r="H4" i="1"/>
  <c r="G4" i="1"/>
  <c r="I4" i="1" s="1"/>
  <c r="H3" i="1"/>
  <c r="G3" i="1"/>
  <c r="H2" i="1"/>
  <c r="G2" i="1"/>
  <c r="I2" i="1" s="1"/>
  <c r="D2" i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" i="1"/>
  <c r="C2" i="1"/>
  <c r="E2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3" i="1"/>
  <c r="E3" i="1" s="1"/>
  <c r="E4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4C868-447B-456A-B92D-11F5A847FF80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<sst xmlns="http://schemas.openxmlformats.org/spreadsheetml/2006/main" count="346" uniqueCount="238">
  <si>
    <t>Station</t>
  </si>
  <si>
    <t>Region</t>
  </si>
  <si>
    <t>Description</t>
  </si>
  <si>
    <t>101</t>
  </si>
  <si>
    <t>37° 32.130</t>
  </si>
  <si>
    <t>-122° 09.976</t>
  </si>
  <si>
    <t>S San Francisco Bay, Chnl 1.4km E Redwood Cr.</t>
  </si>
  <si>
    <t/>
  </si>
  <si>
    <t>102</t>
  </si>
  <si>
    <t>37° 34.998</t>
  </si>
  <si>
    <t>-122° 12.498</t>
  </si>
  <si>
    <t>S San Francisco Bay, Shl 1.8km S of SM Hayward Br.</t>
  </si>
  <si>
    <t>103</t>
  </si>
  <si>
    <t>37° 36.198</t>
  </si>
  <si>
    <t>-122° 18.168</t>
  </si>
  <si>
    <t>S San Francisco Bay, Shl 1.9km NE of Coyote Point</t>
  </si>
  <si>
    <t>104</t>
  </si>
  <si>
    <t>37° 40.782</t>
  </si>
  <si>
    <t>-122° 14.202</t>
  </si>
  <si>
    <t>S San Francisco Bay, Shl NW San Leandro Chnl</t>
  </si>
  <si>
    <t>105</t>
  </si>
  <si>
    <t>37° 43.170</t>
  </si>
  <si>
    <t>-122° 16.248</t>
  </si>
  <si>
    <t>S San Francisco Bay, Shl SW of Oakland Airport</t>
  </si>
  <si>
    <t>106</t>
  </si>
  <si>
    <t>37° 42.120</t>
  </si>
  <si>
    <t>-122° 22.002</t>
  </si>
  <si>
    <t>S San Francisco Bay, Shl SE of Candlestick Point</t>
  </si>
  <si>
    <t>107</t>
  </si>
  <si>
    <t>37° 36.300</t>
  </si>
  <si>
    <t>-122° 17.148</t>
  </si>
  <si>
    <t>S San Francisco Bay, Chnl 3.4km NE Coyote Pt.</t>
  </si>
  <si>
    <t>108</t>
  </si>
  <si>
    <t>37° 40.548</t>
  </si>
  <si>
    <t>-122° 19.782</t>
  </si>
  <si>
    <t>S San Francisco Bay, Chnl 5km NE Pt San Bruno</t>
  </si>
  <si>
    <t>109</t>
  </si>
  <si>
    <t>37° 44.352</t>
  </si>
  <si>
    <t>-122° 21.198</t>
  </si>
  <si>
    <t>S San Francisco Bay, Chnl near Hunters Point</t>
  </si>
  <si>
    <t>110</t>
  </si>
  <si>
    <t>37° 47.291</t>
  </si>
  <si>
    <t>-122° 21.371</t>
  </si>
  <si>
    <t>San Francisco Bay, Chnl 1.5km S of Yerba Buena Is.</t>
  </si>
  <si>
    <t>140</t>
  </si>
  <si>
    <t>37° 30.111</t>
  </si>
  <si>
    <t>-122° 06.971</t>
  </si>
  <si>
    <t>S San Francisco Bay, Chnl 0.3km SE Railroad Br.</t>
  </si>
  <si>
    <t>141</t>
  </si>
  <si>
    <t>37° 39.000</t>
  </si>
  <si>
    <t>-122° 16.000</t>
  </si>
  <si>
    <t>S San Francisco Bay, East San Bruno Shoal</t>
  </si>
  <si>
    <t>Established Dec 1987, discontinued after Feb 1988. Not
used for analyses.</t>
  </si>
  <si>
    <t>142</t>
  </si>
  <si>
    <t>37° 45.710</t>
  </si>
  <si>
    <t>-122° 18.320</t>
  </si>
  <si>
    <t>S San Francisco Bay, Shl 2km SW Alameda Naval St.</t>
  </si>
  <si>
    <t>211W</t>
  </si>
  <si>
    <t>37° 50.684</t>
  </si>
  <si>
    <t>-122° 23.282</t>
  </si>
  <si>
    <t>San Francisco Bay, Shl 1km N of Treasure Is. West Start</t>
  </si>
  <si>
    <t>211E</t>
  </si>
  <si>
    <t>37° 50.340</t>
  </si>
  <si>
    <t>-122° 22.460</t>
  </si>
  <si>
    <t>San Francisco Bay, Shl 1km N of Treasure Is.</t>
  </si>
  <si>
    <t>East Start</t>
  </si>
  <si>
    <t>212</t>
  </si>
  <si>
    <t>37° 51.270</t>
  </si>
  <si>
    <t>-122° 21.162</t>
  </si>
  <si>
    <t>San Francisco Bay, Shl 3.5km W of Berkeley Harbor</t>
  </si>
  <si>
    <t>213</t>
  </si>
  <si>
    <t>37° 49.950</t>
  </si>
  <si>
    <t>-122° 25.630</t>
  </si>
  <si>
    <t>San Francisco Bay, Chnl, Alcatraz Shoal</t>
  </si>
  <si>
    <t>214</t>
  </si>
  <si>
    <t>37° 51.940</t>
  </si>
  <si>
    <t>-122° 24.100</t>
  </si>
  <si>
    <t>San Francisco Bay, Chnl 1.5km E of Angel Is.</t>
  </si>
  <si>
    <t>215</t>
  </si>
  <si>
    <t>37° 53.280</t>
  </si>
  <si>
    <t>-122° 25.452</t>
  </si>
  <si>
    <t>San Francisco Bay, Chnl 1.5km NE of Angel Is.</t>
  </si>
  <si>
    <t>216</t>
  </si>
  <si>
    <t>37° 55.248</t>
  </si>
  <si>
    <t>-122° 26.178</t>
  </si>
  <si>
    <t>San Francisco Bay, Chnl SW Red Rock</t>
  </si>
  <si>
    <t>243</t>
  </si>
  <si>
    <t>37° 53.052</t>
  </si>
  <si>
    <t>-122° 24.072</t>
  </si>
  <si>
    <t>San Francisco Bay, Shl E of Southampton Shl</t>
  </si>
  <si>
    <t>244</t>
  </si>
  <si>
    <t>37° 55.422</t>
  </si>
  <si>
    <t>-122° 28.080</t>
  </si>
  <si>
    <t>San Francisco Bay, Shl E Corte Madera Cr. Chnl.</t>
  </si>
  <si>
    <t>317</t>
  </si>
  <si>
    <t>37° 59.341</t>
  </si>
  <si>
    <t>-122° 24.542</t>
  </si>
  <si>
    <t>San Pablo Bay, Shl 2km NE of Point San Pablo</t>
  </si>
  <si>
    <t>318</t>
  </si>
  <si>
    <t>38° 01.278</t>
  </si>
  <si>
    <t>-122° 20.700</t>
  </si>
  <si>
    <t>San Pablo Bay, Shl 2km NE of Pinole Point</t>
  </si>
  <si>
    <t>319</t>
  </si>
  <si>
    <t>38° 02.418</t>
  </si>
  <si>
    <t>-122° 17.130</t>
  </si>
  <si>
    <t>San Pablo Bay, Shl 1.5km West of Lone Tree Point</t>
  </si>
  <si>
    <t>320</t>
  </si>
  <si>
    <t>38° 03.760</t>
  </si>
  <si>
    <t>-122° 19.030</t>
  </si>
  <si>
    <t>San Pablo Bay, Shl N of Pinole Shl Across Chnl</t>
  </si>
  <si>
    <t>321</t>
  </si>
  <si>
    <t>38° 03.972</t>
  </si>
  <si>
    <t>-122° 22.050</t>
  </si>
  <si>
    <t>322</t>
  </si>
  <si>
    <t>38° 03.180</t>
  </si>
  <si>
    <t>-122° 24.828</t>
  </si>
  <si>
    <t>San Pablo Bay, Shl S Petaluma R Chnl Entrance</t>
  </si>
  <si>
    <t>323</t>
  </si>
  <si>
    <t>38° 01.122</t>
  </si>
  <si>
    <t>-122° 25.800</t>
  </si>
  <si>
    <t>San Pablo Bay, Shl 1km NE Point San Pedro</t>
  </si>
  <si>
    <t>324</t>
  </si>
  <si>
    <t>37° 58.950</t>
  </si>
  <si>
    <t>-122° 24.720</t>
  </si>
  <si>
    <t>Same as Station 317, discontinued after January 1981</t>
  </si>
  <si>
    <t>Use Station 324 data instead of Station 317 for 1980 and
January 1981 analyses.</t>
  </si>
  <si>
    <t>325</t>
  </si>
  <si>
    <t>38° 01.800</t>
  </si>
  <si>
    <t>-122° 22.302</t>
  </si>
  <si>
    <t>San Pablo Bay, Chnl 2km NW of Pinole Point</t>
  </si>
  <si>
    <t>326</t>
  </si>
  <si>
    <t>38° 02.420</t>
  </si>
  <si>
    <t>Same as Station 319, discontinued after January 1981</t>
  </si>
  <si>
    <t>Use Station 326 data instead of Station 319 for 1980 and
January 1981 analyses.</t>
  </si>
  <si>
    <t>345</t>
  </si>
  <si>
    <t>37° 59.850</t>
  </si>
  <si>
    <t>San Pablo Bay, Chnl N of Pt. San Pablo</t>
  </si>
  <si>
    <t>346</t>
  </si>
  <si>
    <t>-122° 18.000</t>
  </si>
  <si>
    <t>San Pablo Bay, Chnl mouth of Carquinez Strait</t>
  </si>
  <si>
    <t>427</t>
  </si>
  <si>
    <t>38° 02.130</t>
  </si>
  <si>
    <t>-122° 09.132</t>
  </si>
  <si>
    <t>Carquinez Strait, Chnl 0.6km SW Hwy 680 Br.</t>
  </si>
  <si>
    <t>428</t>
  </si>
  <si>
    <t>38° 03.720</t>
  </si>
  <si>
    <t>-122° 06.318</t>
  </si>
  <si>
    <t>W Suisun Bay, Chnl Nr Reserve Fleet Anchorage</t>
  </si>
  <si>
    <t>429</t>
  </si>
  <si>
    <t>38° 05.150</t>
  </si>
  <si>
    <t>-122° 04.610</t>
  </si>
  <si>
    <t>N Suisun Bay Chnl Nr Reserve Fleet Anchorage</t>
  </si>
  <si>
    <t>430</t>
  </si>
  <si>
    <t>38° 06.492</t>
  </si>
  <si>
    <t>-122° 03.300</t>
  </si>
  <si>
    <t>Grizzly Bay Shl NW of Ryer Is. near Suisun Sl. Chnl.</t>
  </si>
  <si>
    <t>431</t>
  </si>
  <si>
    <t>38° 06.312</t>
  </si>
  <si>
    <t>-122° 01.680</t>
  </si>
  <si>
    <t>Grizzly Bay Shl N of Ryer Is. E of Simmons Is.</t>
  </si>
  <si>
    <t>432</t>
  </si>
  <si>
    <t>38° 02.550</t>
  </si>
  <si>
    <t>-122° 06.480</t>
  </si>
  <si>
    <t>Suisun Bay, Sacramento R. Chnl E of Hwy 680 Br.</t>
  </si>
  <si>
    <t>433</t>
  </si>
  <si>
    <t>38° 03.607</t>
  </si>
  <si>
    <t>-121° 58.969</t>
  </si>
  <si>
    <t>Sacramento River, Chnl near Port Chicago</t>
  </si>
  <si>
    <t>447</t>
  </si>
  <si>
    <t>38° 03.355</t>
  </si>
  <si>
    <t>-122° 10.700</t>
  </si>
  <si>
    <t>(E) Carquinez Strait, Chnl S of Benicia Boat Ramp</t>
  </si>
  <si>
    <t>534</t>
  </si>
  <si>
    <t>38° 04.287</t>
  </si>
  <si>
    <t>-121° 57.372</t>
  </si>
  <si>
    <t>Honker Bay, Shl (Center)</t>
  </si>
  <si>
    <t>38° 02.839</t>
  </si>
  <si>
    <t>-121° 55.060</t>
  </si>
  <si>
    <t>Sacramento R., Channel S of Chipps Island</t>
  </si>
  <si>
    <t>736</t>
  </si>
  <si>
    <t>38° 03.62</t>
  </si>
  <si>
    <t>-121° 48.260</t>
  </si>
  <si>
    <t>Sacramento R., Chnl N of Sherman Lake</t>
  </si>
  <si>
    <t>750</t>
  </si>
  <si>
    <t>38° 05.08</t>
  </si>
  <si>
    <t>-121° 45.000</t>
  </si>
  <si>
    <t>Sacramento River, Chnl 1 Km SW Decker Island</t>
  </si>
  <si>
    <t>751</t>
  </si>
  <si>
    <t>38° 06.330</t>
  </si>
  <si>
    <t>-121° 43.020</t>
  </si>
  <si>
    <t>Sacramento R., Chnl N end of Decker Island</t>
  </si>
  <si>
    <t>Longitude was -122° 43.020, corrected 04 May 2020.</t>
  </si>
  <si>
    <t>752</t>
  </si>
  <si>
    <t>38° 06.252</t>
  </si>
  <si>
    <t>-121° 42.750</t>
  </si>
  <si>
    <t>Sacramento R., Shl N End of Decker Island</t>
  </si>
  <si>
    <t>760</t>
  </si>
  <si>
    <t>38° 09.140</t>
  </si>
  <si>
    <t>-121° 41.090</t>
  </si>
  <si>
    <t>Sacramento R., Shl upstream Rio Vista Bridge</t>
  </si>
  <si>
    <t>761</t>
  </si>
  <si>
    <t>-121° 40.630</t>
  </si>
  <si>
    <t>Sacramento R., Chnl at confluence of Steamboat Slough</t>
  </si>
  <si>
    <t>762</t>
  </si>
  <si>
    <t>-121° 39.420</t>
  </si>
  <si>
    <t>Sacramento R., Shl at confluence of Steamboat Slough</t>
  </si>
  <si>
    <t>837</t>
  </si>
  <si>
    <t>38° 01.470</t>
  </si>
  <si>
    <t>-121° 45.600</t>
  </si>
  <si>
    <t>San Joaquin R., Shl between West Is. and Antioch Br.</t>
  </si>
  <si>
    <t>853</t>
  </si>
  <si>
    <t>38° 01.710</t>
  </si>
  <si>
    <t>-121° 44.220</t>
  </si>
  <si>
    <t>San Joaquin R., Chnl E of Antioch Br.</t>
  </si>
  <si>
    <t>863</t>
  </si>
  <si>
    <t>38° 05.487</t>
  </si>
  <si>
    <t>-121° 39.066</t>
  </si>
  <si>
    <t>San Joaquin R., Santa Clara Shoal</t>
  </si>
  <si>
    <t>864</t>
  </si>
  <si>
    <t>38° 06.070</t>
  </si>
  <si>
    <t>-121° 35.880</t>
  </si>
  <si>
    <t>San Joaquin R., Channel next to San Andreas Shl.</t>
  </si>
  <si>
    <t>865</t>
  </si>
  <si>
    <t>38° 05.200</t>
  </si>
  <si>
    <t>-121° 34.580</t>
  </si>
  <si>
    <t>San Joaquin R., shoal at Old River Flats</t>
  </si>
  <si>
    <t>South Bay</t>
  </si>
  <si>
    <t>Central Bay</t>
  </si>
  <si>
    <t>San Pablo Bay</t>
  </si>
  <si>
    <t>Suisun Bay</t>
  </si>
  <si>
    <t>38° 03.330</t>
  </si>
  <si>
    <t>38° 10.070</t>
  </si>
  <si>
    <t>38° 10.500</t>
  </si>
  <si>
    <t>DegreeComponent</t>
  </si>
  <si>
    <t>DecimalMinuteComponent</t>
  </si>
  <si>
    <t>LatitudeDecimalDegrees</t>
  </si>
  <si>
    <t>LongitudeDecimalDegrees</t>
  </si>
  <si>
    <t>West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</si>
</sst>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774224-9598-49EC-B75B-940B93A98C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7D7A-C84B-4D49-A116-367287F6FD9C}">
  <dimension ref="A1:M58"/>
  <sheetViews>
    <sheetView tabSelected="1" workbookViewId="0">
      <selection activeCell="I15" sqref="I15"/>
    </sheetView>
  </sheetViews>
  <sheetFormatPr defaultRowHeight="15" x14ac:dyDescent="0.25"/>
  <cols>
    <col min="3" max="3" width="18.140625" bestFit="1" customWidth="1"/>
    <col min="4" max="4" width="25.5703125" bestFit="1" customWidth="1"/>
    <col min="5" max="5" width="12" bestFit="1" customWidth="1"/>
    <col min="7" max="7" width="18.140625" bestFit="1" customWidth="1"/>
    <col min="8" max="8" width="25.5703125" bestFit="1" customWidth="1"/>
    <col min="9" max="9" width="24.7109375" bestFit="1" customWidth="1"/>
    <col min="10" max="10" width="51.140625" bestFit="1" customWidth="1"/>
    <col min="11" max="11" width="22.7109375" bestFit="1" customWidth="1"/>
  </cols>
  <sheetData>
    <row r="1" spans="1:13" x14ac:dyDescent="0.25">
      <c r="A1" t="s">
        <v>0</v>
      </c>
      <c r="C1" t="s">
        <v>233</v>
      </c>
      <c r="D1" t="s">
        <v>234</v>
      </c>
      <c r="E1" t="s">
        <v>235</v>
      </c>
      <c r="G1" t="s">
        <v>233</v>
      </c>
      <c r="H1" t="s">
        <v>234</v>
      </c>
      <c r="I1" t="s">
        <v>236</v>
      </c>
      <c r="J1" t="s">
        <v>2</v>
      </c>
      <c r="K1" t="s">
        <v>1</v>
      </c>
    </row>
    <row r="2" spans="1:13" x14ac:dyDescent="0.25">
      <c r="A2" s="1" t="s">
        <v>3</v>
      </c>
      <c r="B2" s="2" t="s">
        <v>4</v>
      </c>
      <c r="C2" s="2" t="str">
        <f>_xlfn.TEXTBEFORE(B2,"° ")</f>
        <v>37</v>
      </c>
      <c r="D2" s="2" t="str">
        <f>_xlfn.TEXTAFTER(B2,"° ")</f>
        <v>32.130</v>
      </c>
      <c r="E2" s="2">
        <f>_xlfn.NUMBERVALUE(C2)+_xlfn.NUMBERVALUE(D2)/60</f>
        <v>37.535499999999999</v>
      </c>
      <c r="F2" s="2" t="s">
        <v>5</v>
      </c>
      <c r="G2" s="2" t="str">
        <f>_xlfn.TEXTBEFORE(F2,"° ")</f>
        <v>-122</v>
      </c>
      <c r="H2" s="2" t="str">
        <f>_xlfn.TEXTAFTER(F2,"° ")</f>
        <v>09.976</v>
      </c>
      <c r="I2" s="2">
        <f>(-1*_xlfn.NUMBERVALUE(G2)+_xlfn.NUMBERVALUE(H2)/60)*-1</f>
        <v>-122.16626666666667</v>
      </c>
      <c r="J2" s="2" t="s">
        <v>6</v>
      </c>
      <c r="K2" s="2" t="s">
        <v>226</v>
      </c>
      <c r="L2" s="2"/>
      <c r="M2" s="3" t="s">
        <v>7</v>
      </c>
    </row>
    <row r="3" spans="1:13" x14ac:dyDescent="0.25">
      <c r="A3" s="1" t="s">
        <v>8</v>
      </c>
      <c r="B3" s="2" t="s">
        <v>9</v>
      </c>
      <c r="C3" s="2" t="str">
        <f>_xlfn.TEXTBEFORE(B3,"° ")</f>
        <v>37</v>
      </c>
      <c r="D3" s="2" t="str">
        <f>_xlfn.TEXTAFTER(B3,"° ")</f>
        <v>34.998</v>
      </c>
      <c r="E3" s="2">
        <f>_xlfn.NUMBERVALUE(C3)+_xlfn.NUMBERVALUE(D3)/60</f>
        <v>37.583300000000001</v>
      </c>
      <c r="F3" s="2" t="s">
        <v>10</v>
      </c>
      <c r="G3" s="2" t="str">
        <f>_xlfn.TEXTBEFORE(F3,"° ")</f>
        <v>-122</v>
      </c>
      <c r="H3" s="2" t="str">
        <f>_xlfn.TEXTAFTER(F3,"° ")</f>
        <v>12.498</v>
      </c>
      <c r="I3" s="2">
        <f t="shared" ref="I3:I58" si="0">(-1*_xlfn.NUMBERVALUE(G3)+_xlfn.NUMBERVALUE(H3)/60)*-1</f>
        <v>-122.20829999999999</v>
      </c>
      <c r="J3" s="2" t="s">
        <v>11</v>
      </c>
      <c r="K3" s="2" t="s">
        <v>226</v>
      </c>
      <c r="L3" s="2"/>
      <c r="M3" s="3" t="s">
        <v>7</v>
      </c>
    </row>
    <row r="4" spans="1:13" x14ac:dyDescent="0.25">
      <c r="A4" s="1" t="s">
        <v>12</v>
      </c>
      <c r="B4" s="2" t="s">
        <v>13</v>
      </c>
      <c r="C4" s="2" t="str">
        <f t="shared" ref="C4:C58" si="1">_xlfn.TEXTBEFORE(B4,"° ")</f>
        <v>37</v>
      </c>
      <c r="D4" s="2" t="str">
        <f t="shared" ref="D4:D58" si="2">_xlfn.TEXTAFTER(B4,"° ")</f>
        <v>36.198</v>
      </c>
      <c r="E4" s="2">
        <f t="shared" ref="E4:E58" si="3">_xlfn.NUMBERVALUE(C4)+_xlfn.NUMBERVALUE(D4)/60</f>
        <v>37.603299999999997</v>
      </c>
      <c r="F4" s="2" t="s">
        <v>14</v>
      </c>
      <c r="G4" s="2" t="str">
        <f t="shared" ref="G4:G58" si="4">_xlfn.TEXTBEFORE(F4,"° ")</f>
        <v>-122</v>
      </c>
      <c r="H4" s="2" t="str">
        <f t="shared" ref="H4:H58" si="5">_xlfn.TEXTAFTER(F4,"° ")</f>
        <v>18.168</v>
      </c>
      <c r="I4" s="2">
        <f t="shared" si="0"/>
        <v>-122.3028</v>
      </c>
      <c r="J4" s="2" t="s">
        <v>15</v>
      </c>
      <c r="K4" s="2" t="s">
        <v>226</v>
      </c>
      <c r="L4" s="2"/>
      <c r="M4" s="3" t="s">
        <v>7</v>
      </c>
    </row>
    <row r="5" spans="1:13" x14ac:dyDescent="0.25">
      <c r="A5" s="1" t="s">
        <v>16</v>
      </c>
      <c r="B5" s="2" t="s">
        <v>17</v>
      </c>
      <c r="C5" s="2" t="str">
        <f t="shared" si="1"/>
        <v>37</v>
      </c>
      <c r="D5" s="2" t="str">
        <f t="shared" si="2"/>
        <v>40.782</v>
      </c>
      <c r="E5" s="2">
        <f t="shared" si="3"/>
        <v>37.679699999999997</v>
      </c>
      <c r="F5" s="2" t="s">
        <v>18</v>
      </c>
      <c r="G5" s="2" t="str">
        <f t="shared" si="4"/>
        <v>-122</v>
      </c>
      <c r="H5" s="2" t="str">
        <f t="shared" si="5"/>
        <v>14.202</v>
      </c>
      <c r="I5" s="2">
        <f t="shared" si="0"/>
        <v>-122.2367</v>
      </c>
      <c r="J5" s="2" t="s">
        <v>19</v>
      </c>
      <c r="K5" s="2" t="s">
        <v>226</v>
      </c>
      <c r="L5" s="2"/>
      <c r="M5" s="3" t="s">
        <v>7</v>
      </c>
    </row>
    <row r="6" spans="1:13" x14ac:dyDescent="0.25">
      <c r="A6" s="1" t="s">
        <v>20</v>
      </c>
      <c r="B6" s="2" t="s">
        <v>21</v>
      </c>
      <c r="C6" s="2" t="str">
        <f t="shared" si="1"/>
        <v>37</v>
      </c>
      <c r="D6" s="2" t="str">
        <f t="shared" si="2"/>
        <v>43.170</v>
      </c>
      <c r="E6" s="2">
        <f t="shared" si="3"/>
        <v>37.719499999999996</v>
      </c>
      <c r="F6" s="2" t="s">
        <v>22</v>
      </c>
      <c r="G6" s="2" t="str">
        <f t="shared" si="4"/>
        <v>-122</v>
      </c>
      <c r="H6" s="2" t="str">
        <f t="shared" si="5"/>
        <v>16.248</v>
      </c>
      <c r="I6" s="2">
        <f t="shared" si="0"/>
        <v>-122.27079999999999</v>
      </c>
      <c r="J6" s="2" t="s">
        <v>23</v>
      </c>
      <c r="K6" s="2" t="s">
        <v>226</v>
      </c>
      <c r="L6" s="2"/>
      <c r="M6" s="3" t="s">
        <v>7</v>
      </c>
    </row>
    <row r="7" spans="1:13" x14ac:dyDescent="0.25">
      <c r="A7" s="1" t="s">
        <v>24</v>
      </c>
      <c r="B7" s="2" t="s">
        <v>25</v>
      </c>
      <c r="C7" s="2" t="str">
        <f t="shared" si="1"/>
        <v>37</v>
      </c>
      <c r="D7" s="2" t="str">
        <f t="shared" si="2"/>
        <v>42.120</v>
      </c>
      <c r="E7" s="2">
        <f t="shared" si="3"/>
        <v>37.701999999999998</v>
      </c>
      <c r="F7" s="2" t="s">
        <v>26</v>
      </c>
      <c r="G7" s="2" t="str">
        <f t="shared" si="4"/>
        <v>-122</v>
      </c>
      <c r="H7" s="2" t="str">
        <f t="shared" si="5"/>
        <v>22.002</v>
      </c>
      <c r="I7" s="2">
        <f t="shared" si="0"/>
        <v>-122.36669999999999</v>
      </c>
      <c r="J7" s="2" t="s">
        <v>27</v>
      </c>
      <c r="K7" s="2" t="s">
        <v>226</v>
      </c>
      <c r="L7" s="2"/>
      <c r="M7" s="3" t="s">
        <v>7</v>
      </c>
    </row>
    <row r="8" spans="1:13" x14ac:dyDescent="0.25">
      <c r="A8" s="1" t="s">
        <v>28</v>
      </c>
      <c r="B8" s="2" t="s">
        <v>29</v>
      </c>
      <c r="C8" s="2" t="str">
        <f t="shared" si="1"/>
        <v>37</v>
      </c>
      <c r="D8" s="2" t="str">
        <f t="shared" si="2"/>
        <v>36.300</v>
      </c>
      <c r="E8" s="2">
        <f t="shared" si="3"/>
        <v>37.604999999999997</v>
      </c>
      <c r="F8" s="2" t="s">
        <v>30</v>
      </c>
      <c r="G8" s="2" t="str">
        <f t="shared" si="4"/>
        <v>-122</v>
      </c>
      <c r="H8" s="2" t="str">
        <f t="shared" si="5"/>
        <v>17.148</v>
      </c>
      <c r="I8" s="2">
        <f t="shared" si="0"/>
        <v>-122.28579999999999</v>
      </c>
      <c r="J8" s="2" t="s">
        <v>31</v>
      </c>
      <c r="K8" s="2" t="s">
        <v>226</v>
      </c>
      <c r="L8" s="2"/>
      <c r="M8" s="3" t="s">
        <v>7</v>
      </c>
    </row>
    <row r="9" spans="1:13" x14ac:dyDescent="0.25">
      <c r="A9" s="1" t="s">
        <v>32</v>
      </c>
      <c r="B9" s="2" t="s">
        <v>33</v>
      </c>
      <c r="C9" s="2" t="str">
        <f t="shared" si="1"/>
        <v>37</v>
      </c>
      <c r="D9" s="2" t="str">
        <f t="shared" si="2"/>
        <v>40.548</v>
      </c>
      <c r="E9" s="2">
        <f t="shared" si="3"/>
        <v>37.675800000000002</v>
      </c>
      <c r="F9" s="2" t="s">
        <v>34</v>
      </c>
      <c r="G9" s="2" t="str">
        <f t="shared" si="4"/>
        <v>-122</v>
      </c>
      <c r="H9" s="2" t="str">
        <f t="shared" si="5"/>
        <v>19.782</v>
      </c>
      <c r="I9" s="2">
        <f t="shared" si="0"/>
        <v>-122.3297</v>
      </c>
      <c r="J9" s="2" t="s">
        <v>35</v>
      </c>
      <c r="K9" s="2" t="s">
        <v>226</v>
      </c>
      <c r="L9" s="2"/>
      <c r="M9" s="3" t="s">
        <v>7</v>
      </c>
    </row>
    <row r="10" spans="1:13" x14ac:dyDescent="0.25">
      <c r="A10" s="1" t="s">
        <v>36</v>
      </c>
      <c r="B10" s="2" t="s">
        <v>37</v>
      </c>
      <c r="C10" s="2" t="str">
        <f t="shared" si="1"/>
        <v>37</v>
      </c>
      <c r="D10" s="2" t="str">
        <f t="shared" si="2"/>
        <v>44.352</v>
      </c>
      <c r="E10" s="2">
        <f t="shared" si="3"/>
        <v>37.739199999999997</v>
      </c>
      <c r="F10" s="2" t="s">
        <v>38</v>
      </c>
      <c r="G10" s="2" t="str">
        <f t="shared" si="4"/>
        <v>-122</v>
      </c>
      <c r="H10" s="2" t="str">
        <f t="shared" si="5"/>
        <v>21.198</v>
      </c>
      <c r="I10" s="2">
        <f t="shared" si="0"/>
        <v>-122.3533</v>
      </c>
      <c r="J10" s="2" t="s">
        <v>39</v>
      </c>
      <c r="K10" s="2" t="s">
        <v>226</v>
      </c>
      <c r="L10" s="2"/>
      <c r="M10" s="3" t="s">
        <v>7</v>
      </c>
    </row>
    <row r="11" spans="1:13" x14ac:dyDescent="0.25">
      <c r="A11" s="1" t="s">
        <v>40</v>
      </c>
      <c r="B11" s="2" t="s">
        <v>41</v>
      </c>
      <c r="C11" s="2" t="str">
        <f t="shared" si="1"/>
        <v>37</v>
      </c>
      <c r="D11" s="2" t="str">
        <f t="shared" si="2"/>
        <v>47.291</v>
      </c>
      <c r="E11" s="2">
        <f t="shared" si="3"/>
        <v>37.788183333333336</v>
      </c>
      <c r="F11" s="2" t="s">
        <v>42</v>
      </c>
      <c r="G11" s="2" t="str">
        <f t="shared" si="4"/>
        <v>-122</v>
      </c>
      <c r="H11" s="2" t="str">
        <f t="shared" si="5"/>
        <v>21.371</v>
      </c>
      <c r="I11" s="2">
        <f t="shared" si="0"/>
        <v>-122.35618333333333</v>
      </c>
      <c r="J11" s="2" t="s">
        <v>43</v>
      </c>
      <c r="K11" s="2" t="s">
        <v>227</v>
      </c>
      <c r="L11" s="2"/>
      <c r="M11" s="3" t="s">
        <v>7</v>
      </c>
    </row>
    <row r="12" spans="1:13" x14ac:dyDescent="0.25">
      <c r="A12" s="1" t="s">
        <v>44</v>
      </c>
      <c r="B12" s="2" t="s">
        <v>45</v>
      </c>
      <c r="C12" s="2" t="str">
        <f t="shared" si="1"/>
        <v>37</v>
      </c>
      <c r="D12" s="2" t="str">
        <f t="shared" si="2"/>
        <v>30.111</v>
      </c>
      <c r="E12" s="2">
        <f t="shared" si="3"/>
        <v>37.501849999999997</v>
      </c>
      <c r="F12" s="2" t="s">
        <v>46</v>
      </c>
      <c r="G12" s="2" t="str">
        <f t="shared" si="4"/>
        <v>-122</v>
      </c>
      <c r="H12" s="2" t="str">
        <f t="shared" si="5"/>
        <v>06.971</v>
      </c>
      <c r="I12" s="2">
        <f t="shared" si="0"/>
        <v>-122.11618333333334</v>
      </c>
      <c r="J12" s="2" t="s">
        <v>47</v>
      </c>
      <c r="K12" s="2" t="s">
        <v>226</v>
      </c>
      <c r="L12" s="2"/>
      <c r="M12" s="3" t="s">
        <v>7</v>
      </c>
    </row>
    <row r="13" spans="1:13" x14ac:dyDescent="0.25">
      <c r="A13" s="1" t="s">
        <v>48</v>
      </c>
      <c r="B13" s="2" t="s">
        <v>49</v>
      </c>
      <c r="C13" s="2" t="str">
        <f t="shared" si="1"/>
        <v>37</v>
      </c>
      <c r="D13" s="2" t="str">
        <f t="shared" si="2"/>
        <v>39.000</v>
      </c>
      <c r="E13" s="2">
        <f t="shared" si="3"/>
        <v>37.65</v>
      </c>
      <c r="F13" s="2" t="s">
        <v>50</v>
      </c>
      <c r="G13" s="2" t="str">
        <f t="shared" si="4"/>
        <v>-122</v>
      </c>
      <c r="H13" s="2" t="str">
        <f t="shared" si="5"/>
        <v>16.000</v>
      </c>
      <c r="I13" s="2">
        <f t="shared" si="0"/>
        <v>-122.26666666666667</v>
      </c>
      <c r="J13" s="2" t="s">
        <v>51</v>
      </c>
      <c r="K13" s="2" t="s">
        <v>226</v>
      </c>
      <c r="L13" s="2"/>
      <c r="M13" s="3" t="s">
        <v>52</v>
      </c>
    </row>
    <row r="14" spans="1:13" x14ac:dyDescent="0.25">
      <c r="A14" s="1" t="s">
        <v>53</v>
      </c>
      <c r="B14" s="2" t="s">
        <v>54</v>
      </c>
      <c r="C14" s="2" t="str">
        <f t="shared" si="1"/>
        <v>37</v>
      </c>
      <c r="D14" s="2" t="str">
        <f t="shared" si="2"/>
        <v>45.710</v>
      </c>
      <c r="E14" s="2">
        <f t="shared" si="3"/>
        <v>37.761833333333335</v>
      </c>
      <c r="F14" s="2" t="s">
        <v>55</v>
      </c>
      <c r="G14" s="2" t="str">
        <f t="shared" si="4"/>
        <v>-122</v>
      </c>
      <c r="H14" s="2" t="str">
        <f t="shared" si="5"/>
        <v>18.320</v>
      </c>
      <c r="I14" s="2">
        <f t="shared" si="0"/>
        <v>-122.30533333333334</v>
      </c>
      <c r="J14" s="2" t="s">
        <v>56</v>
      </c>
      <c r="K14" s="2" t="s">
        <v>226</v>
      </c>
      <c r="L14" s="2"/>
      <c r="M14" s="3" t="s">
        <v>7</v>
      </c>
    </row>
    <row r="15" spans="1:13" x14ac:dyDescent="0.25">
      <c r="A15" s="1">
        <v>211</v>
      </c>
      <c r="B15" s="2"/>
      <c r="C15" s="2"/>
      <c r="D15" s="2"/>
      <c r="E15" s="2">
        <f>AVERAGE(E16,E17)</f>
        <v>37.841866666666661</v>
      </c>
      <c r="F15" s="2"/>
      <c r="G15" s="2"/>
      <c r="H15" s="2"/>
      <c r="I15" s="2">
        <f>AVERAGE(I16,I17)</f>
        <v>-122.38118333333334</v>
      </c>
      <c r="J15" s="2"/>
      <c r="K15" s="2" t="s">
        <v>227</v>
      </c>
      <c r="L15" s="2"/>
      <c r="M15" s="3"/>
    </row>
    <row r="16" spans="1:13" x14ac:dyDescent="0.25">
      <c r="A16" s="1" t="s">
        <v>57</v>
      </c>
      <c r="B16" s="2" t="s">
        <v>58</v>
      </c>
      <c r="C16" s="2" t="str">
        <f t="shared" si="1"/>
        <v>37</v>
      </c>
      <c r="D16" s="2" t="str">
        <f t="shared" si="2"/>
        <v>50.684</v>
      </c>
      <c r="E16" s="2">
        <f t="shared" si="3"/>
        <v>37.84473333333333</v>
      </c>
      <c r="F16" s="2" t="s">
        <v>59</v>
      </c>
      <c r="G16" s="2" t="str">
        <f t="shared" si="4"/>
        <v>-122</v>
      </c>
      <c r="H16" s="2" t="str">
        <f t="shared" si="5"/>
        <v>23.282</v>
      </c>
      <c r="I16" s="2">
        <f t="shared" si="0"/>
        <v>-122.38803333333334</v>
      </c>
      <c r="J16" s="2" t="s">
        <v>60</v>
      </c>
      <c r="K16" s="2" t="s">
        <v>227</v>
      </c>
      <c r="L16" s="2"/>
      <c r="M16" s="3" t="s">
        <v>7</v>
      </c>
    </row>
    <row r="17" spans="1:13" x14ac:dyDescent="0.25">
      <c r="A17" s="1" t="s">
        <v>61</v>
      </c>
      <c r="B17" s="2" t="s">
        <v>62</v>
      </c>
      <c r="C17" s="2" t="str">
        <f t="shared" si="1"/>
        <v>37</v>
      </c>
      <c r="D17" s="2" t="str">
        <f t="shared" si="2"/>
        <v>50.340</v>
      </c>
      <c r="E17" s="2">
        <f t="shared" si="3"/>
        <v>37.838999999999999</v>
      </c>
      <c r="F17" s="2" t="s">
        <v>63</v>
      </c>
      <c r="G17" s="2" t="str">
        <f t="shared" si="4"/>
        <v>-122</v>
      </c>
      <c r="H17" s="2" t="str">
        <f t="shared" si="5"/>
        <v>22.460</v>
      </c>
      <c r="I17" s="2">
        <f t="shared" si="0"/>
        <v>-122.37433333333334</v>
      </c>
      <c r="J17" s="2" t="s">
        <v>64</v>
      </c>
      <c r="K17" s="2" t="s">
        <v>227</v>
      </c>
      <c r="L17" s="2" t="s">
        <v>65</v>
      </c>
      <c r="M17" s="3" t="s">
        <v>7</v>
      </c>
    </row>
    <row r="18" spans="1:13" x14ac:dyDescent="0.25">
      <c r="A18" s="1" t="s">
        <v>66</v>
      </c>
      <c r="B18" s="2" t="s">
        <v>67</v>
      </c>
      <c r="C18" s="2" t="str">
        <f t="shared" si="1"/>
        <v>37</v>
      </c>
      <c r="D18" s="2" t="str">
        <f t="shared" si="2"/>
        <v>51.270</v>
      </c>
      <c r="E18" s="2">
        <f t="shared" si="3"/>
        <v>37.854500000000002</v>
      </c>
      <c r="F18" s="2" t="s">
        <v>68</v>
      </c>
      <c r="G18" s="2" t="str">
        <f t="shared" si="4"/>
        <v>-122</v>
      </c>
      <c r="H18" s="2" t="str">
        <f t="shared" si="5"/>
        <v>21.162</v>
      </c>
      <c r="I18" s="2">
        <f t="shared" si="0"/>
        <v>-122.3527</v>
      </c>
      <c r="J18" s="2" t="s">
        <v>69</v>
      </c>
      <c r="K18" s="2" t="s">
        <v>227</v>
      </c>
      <c r="L18" s="2"/>
      <c r="M18" s="3" t="s">
        <v>7</v>
      </c>
    </row>
    <row r="19" spans="1:13" x14ac:dyDescent="0.25">
      <c r="A19" s="1" t="s">
        <v>70</v>
      </c>
      <c r="B19" s="2" t="s">
        <v>71</v>
      </c>
      <c r="C19" s="2" t="str">
        <f t="shared" si="1"/>
        <v>37</v>
      </c>
      <c r="D19" s="2" t="str">
        <f t="shared" si="2"/>
        <v>49.950</v>
      </c>
      <c r="E19" s="2">
        <f t="shared" si="3"/>
        <v>37.832500000000003</v>
      </c>
      <c r="F19" s="2" t="s">
        <v>72</v>
      </c>
      <c r="G19" s="2" t="str">
        <f t="shared" si="4"/>
        <v>-122</v>
      </c>
      <c r="H19" s="2" t="str">
        <f t="shared" si="5"/>
        <v>25.630</v>
      </c>
      <c r="I19" s="2">
        <f t="shared" si="0"/>
        <v>-122.42716666666666</v>
      </c>
      <c r="J19" s="2" t="s">
        <v>73</v>
      </c>
      <c r="K19" s="2" t="s">
        <v>227</v>
      </c>
      <c r="L19" s="2"/>
      <c r="M19" s="3" t="s">
        <v>7</v>
      </c>
    </row>
    <row r="20" spans="1:13" x14ac:dyDescent="0.25">
      <c r="A20" s="1" t="s">
        <v>74</v>
      </c>
      <c r="B20" s="2" t="s">
        <v>75</v>
      </c>
      <c r="C20" s="2" t="str">
        <f t="shared" si="1"/>
        <v>37</v>
      </c>
      <c r="D20" s="2" t="str">
        <f t="shared" si="2"/>
        <v>51.940</v>
      </c>
      <c r="E20" s="2">
        <f t="shared" si="3"/>
        <v>37.865666666666669</v>
      </c>
      <c r="F20" s="2" t="s">
        <v>76</v>
      </c>
      <c r="G20" s="2" t="str">
        <f t="shared" si="4"/>
        <v>-122</v>
      </c>
      <c r="H20" s="2" t="str">
        <f t="shared" si="5"/>
        <v>24.100</v>
      </c>
      <c r="I20" s="2">
        <f t="shared" si="0"/>
        <v>-122.40166666666667</v>
      </c>
      <c r="J20" s="2" t="s">
        <v>77</v>
      </c>
      <c r="K20" s="2" t="s">
        <v>227</v>
      </c>
      <c r="L20" s="2"/>
      <c r="M20" s="3" t="s">
        <v>7</v>
      </c>
    </row>
    <row r="21" spans="1:13" x14ac:dyDescent="0.25">
      <c r="A21" s="1" t="s">
        <v>78</v>
      </c>
      <c r="B21" s="2" t="s">
        <v>79</v>
      </c>
      <c r="C21" s="2" t="str">
        <f t="shared" si="1"/>
        <v>37</v>
      </c>
      <c r="D21" s="2" t="str">
        <f t="shared" si="2"/>
        <v>53.280</v>
      </c>
      <c r="E21" s="2">
        <f t="shared" si="3"/>
        <v>37.887999999999998</v>
      </c>
      <c r="F21" s="2" t="s">
        <v>80</v>
      </c>
      <c r="G21" s="2" t="str">
        <f t="shared" si="4"/>
        <v>-122</v>
      </c>
      <c r="H21" s="2" t="str">
        <f t="shared" si="5"/>
        <v>25.452</v>
      </c>
      <c r="I21" s="2">
        <f t="shared" si="0"/>
        <v>-122.4242</v>
      </c>
      <c r="J21" s="2" t="s">
        <v>81</v>
      </c>
      <c r="K21" s="2" t="s">
        <v>227</v>
      </c>
      <c r="L21" s="2"/>
      <c r="M21" s="3" t="s">
        <v>7</v>
      </c>
    </row>
    <row r="22" spans="1:13" x14ac:dyDescent="0.25">
      <c r="A22" s="1" t="s">
        <v>82</v>
      </c>
      <c r="B22" s="2" t="s">
        <v>83</v>
      </c>
      <c r="C22" s="2" t="str">
        <f t="shared" si="1"/>
        <v>37</v>
      </c>
      <c r="D22" s="2" t="str">
        <f t="shared" si="2"/>
        <v>55.248</v>
      </c>
      <c r="E22" s="2">
        <f t="shared" si="3"/>
        <v>37.9208</v>
      </c>
      <c r="F22" s="2" t="s">
        <v>84</v>
      </c>
      <c r="G22" s="2" t="str">
        <f t="shared" si="4"/>
        <v>-122</v>
      </c>
      <c r="H22" s="2" t="str">
        <f t="shared" si="5"/>
        <v>26.178</v>
      </c>
      <c r="I22" s="2">
        <f t="shared" si="0"/>
        <v>-122.4363</v>
      </c>
      <c r="J22" s="2" t="s">
        <v>85</v>
      </c>
      <c r="K22" s="2" t="s">
        <v>227</v>
      </c>
      <c r="L22" s="2"/>
      <c r="M22" s="3" t="s">
        <v>7</v>
      </c>
    </row>
    <row r="23" spans="1:13" x14ac:dyDescent="0.25">
      <c r="A23" s="1" t="s">
        <v>86</v>
      </c>
      <c r="B23" s="2" t="s">
        <v>87</v>
      </c>
      <c r="C23" s="2" t="str">
        <f t="shared" si="1"/>
        <v>37</v>
      </c>
      <c r="D23" s="2" t="str">
        <f t="shared" si="2"/>
        <v>53.052</v>
      </c>
      <c r="E23" s="2">
        <f t="shared" si="3"/>
        <v>37.8842</v>
      </c>
      <c r="F23" s="2" t="s">
        <v>88</v>
      </c>
      <c r="G23" s="2" t="str">
        <f t="shared" si="4"/>
        <v>-122</v>
      </c>
      <c r="H23" s="2" t="str">
        <f t="shared" si="5"/>
        <v>24.072</v>
      </c>
      <c r="I23" s="2">
        <f t="shared" si="0"/>
        <v>-122.4012</v>
      </c>
      <c r="J23" s="2" t="s">
        <v>89</v>
      </c>
      <c r="K23" s="2" t="s">
        <v>227</v>
      </c>
      <c r="L23" s="2"/>
      <c r="M23" s="3" t="s">
        <v>7</v>
      </c>
    </row>
    <row r="24" spans="1:13" x14ac:dyDescent="0.25">
      <c r="A24" s="1" t="s">
        <v>90</v>
      </c>
      <c r="B24" s="2" t="s">
        <v>91</v>
      </c>
      <c r="C24" s="2" t="str">
        <f t="shared" si="1"/>
        <v>37</v>
      </c>
      <c r="D24" s="2" t="str">
        <f t="shared" si="2"/>
        <v>55.422</v>
      </c>
      <c r="E24" s="2">
        <f t="shared" si="3"/>
        <v>37.923699999999997</v>
      </c>
      <c r="F24" s="2" t="s">
        <v>92</v>
      </c>
      <c r="G24" s="2" t="str">
        <f t="shared" si="4"/>
        <v>-122</v>
      </c>
      <c r="H24" s="2" t="str">
        <f t="shared" si="5"/>
        <v>28.080</v>
      </c>
      <c r="I24" s="2">
        <f t="shared" si="0"/>
        <v>-122.468</v>
      </c>
      <c r="J24" s="2" t="s">
        <v>93</v>
      </c>
      <c r="K24" s="2" t="s">
        <v>227</v>
      </c>
      <c r="L24" s="2"/>
      <c r="M24" s="3" t="s">
        <v>7</v>
      </c>
    </row>
    <row r="25" spans="1:13" x14ac:dyDescent="0.25">
      <c r="A25" s="1" t="s">
        <v>94</v>
      </c>
      <c r="B25" s="2" t="s">
        <v>95</v>
      </c>
      <c r="C25" s="2" t="str">
        <f t="shared" si="1"/>
        <v>37</v>
      </c>
      <c r="D25" s="2" t="str">
        <f t="shared" si="2"/>
        <v>59.341</v>
      </c>
      <c r="E25" s="2">
        <f t="shared" si="3"/>
        <v>37.989016666666664</v>
      </c>
      <c r="F25" s="2" t="s">
        <v>96</v>
      </c>
      <c r="G25" s="2" t="str">
        <f t="shared" si="4"/>
        <v>-122</v>
      </c>
      <c r="H25" s="2" t="str">
        <f t="shared" si="5"/>
        <v>24.542</v>
      </c>
      <c r="I25" s="2">
        <f t="shared" si="0"/>
        <v>-122.40903333333333</v>
      </c>
      <c r="J25" s="2" t="s">
        <v>97</v>
      </c>
      <c r="K25" s="2" t="s">
        <v>228</v>
      </c>
      <c r="L25" s="2"/>
      <c r="M25" s="3" t="s">
        <v>7</v>
      </c>
    </row>
    <row r="26" spans="1:13" x14ac:dyDescent="0.25">
      <c r="A26" s="1" t="s">
        <v>98</v>
      </c>
      <c r="B26" s="2" t="s">
        <v>99</v>
      </c>
      <c r="C26" s="2" t="str">
        <f t="shared" si="1"/>
        <v>38</v>
      </c>
      <c r="D26" s="2" t="str">
        <f t="shared" si="2"/>
        <v>01.278</v>
      </c>
      <c r="E26" s="2">
        <f t="shared" si="3"/>
        <v>38.021299999999997</v>
      </c>
      <c r="F26" s="2" t="s">
        <v>100</v>
      </c>
      <c r="G26" s="2" t="str">
        <f t="shared" si="4"/>
        <v>-122</v>
      </c>
      <c r="H26" s="2" t="str">
        <f t="shared" si="5"/>
        <v>20.700</v>
      </c>
      <c r="I26" s="2">
        <f t="shared" si="0"/>
        <v>-122.345</v>
      </c>
      <c r="J26" s="2" t="s">
        <v>101</v>
      </c>
      <c r="K26" s="2" t="s">
        <v>228</v>
      </c>
      <c r="L26" s="2"/>
      <c r="M26" s="3" t="s">
        <v>7</v>
      </c>
    </row>
    <row r="27" spans="1:13" x14ac:dyDescent="0.25">
      <c r="A27" s="1" t="s">
        <v>102</v>
      </c>
      <c r="B27" s="2" t="s">
        <v>103</v>
      </c>
      <c r="C27" s="2" t="str">
        <f t="shared" si="1"/>
        <v>38</v>
      </c>
      <c r="D27" s="2" t="str">
        <f t="shared" si="2"/>
        <v>02.418</v>
      </c>
      <c r="E27" s="2">
        <f t="shared" si="3"/>
        <v>38.040300000000002</v>
      </c>
      <c r="F27" s="2" t="s">
        <v>104</v>
      </c>
      <c r="G27" s="2" t="str">
        <f t="shared" si="4"/>
        <v>-122</v>
      </c>
      <c r="H27" s="2" t="str">
        <f t="shared" si="5"/>
        <v>17.130</v>
      </c>
      <c r="I27" s="2">
        <f t="shared" si="0"/>
        <v>-122.2855</v>
      </c>
      <c r="J27" s="2" t="s">
        <v>105</v>
      </c>
      <c r="K27" s="2" t="s">
        <v>228</v>
      </c>
      <c r="L27" s="2"/>
      <c r="M27" s="3" t="s">
        <v>7</v>
      </c>
    </row>
    <row r="28" spans="1:13" x14ac:dyDescent="0.25">
      <c r="A28" s="1" t="s">
        <v>106</v>
      </c>
      <c r="B28" s="2" t="s">
        <v>107</v>
      </c>
      <c r="C28" s="2" t="str">
        <f t="shared" si="1"/>
        <v>38</v>
      </c>
      <c r="D28" s="2" t="str">
        <f t="shared" si="2"/>
        <v>03.760</v>
      </c>
      <c r="E28" s="2">
        <f t="shared" si="3"/>
        <v>38.062666666666665</v>
      </c>
      <c r="F28" s="2" t="s">
        <v>108</v>
      </c>
      <c r="G28" s="2" t="str">
        <f t="shared" si="4"/>
        <v>-122</v>
      </c>
      <c r="H28" s="2" t="str">
        <f t="shared" si="5"/>
        <v>19.030</v>
      </c>
      <c r="I28" s="2">
        <f t="shared" si="0"/>
        <v>-122.31716666666667</v>
      </c>
      <c r="J28" s="2" t="s">
        <v>109</v>
      </c>
      <c r="K28" s="2" t="s">
        <v>228</v>
      </c>
      <c r="L28" s="2"/>
      <c r="M28" s="3" t="s">
        <v>7</v>
      </c>
    </row>
    <row r="29" spans="1:13" x14ac:dyDescent="0.25">
      <c r="A29" s="1" t="s">
        <v>110</v>
      </c>
      <c r="B29" s="2" t="s">
        <v>111</v>
      </c>
      <c r="C29" s="2" t="str">
        <f t="shared" si="1"/>
        <v>38</v>
      </c>
      <c r="D29" s="2" t="str">
        <f t="shared" si="2"/>
        <v>03.972</v>
      </c>
      <c r="E29" s="2">
        <f t="shared" si="3"/>
        <v>38.066200000000002</v>
      </c>
      <c r="F29" s="2" t="s">
        <v>112</v>
      </c>
      <c r="G29" s="2" t="str">
        <f t="shared" si="4"/>
        <v>-122</v>
      </c>
      <c r="H29" s="2" t="str">
        <f t="shared" si="5"/>
        <v>22.050</v>
      </c>
      <c r="I29" s="2">
        <f t="shared" si="0"/>
        <v>-122.36750000000001</v>
      </c>
      <c r="J29" s="2" t="s">
        <v>109</v>
      </c>
      <c r="K29" s="2" t="s">
        <v>228</v>
      </c>
      <c r="L29" s="2"/>
      <c r="M29" s="3" t="s">
        <v>7</v>
      </c>
    </row>
    <row r="30" spans="1:13" x14ac:dyDescent="0.25">
      <c r="A30" s="1" t="s">
        <v>113</v>
      </c>
      <c r="B30" s="2" t="s">
        <v>114</v>
      </c>
      <c r="C30" s="2" t="str">
        <f t="shared" si="1"/>
        <v>38</v>
      </c>
      <c r="D30" s="2" t="str">
        <f t="shared" si="2"/>
        <v>03.180</v>
      </c>
      <c r="E30" s="2">
        <f t="shared" si="3"/>
        <v>38.052999999999997</v>
      </c>
      <c r="F30" s="2" t="s">
        <v>115</v>
      </c>
      <c r="G30" s="2" t="str">
        <f t="shared" si="4"/>
        <v>-122</v>
      </c>
      <c r="H30" s="2" t="str">
        <f t="shared" si="5"/>
        <v>24.828</v>
      </c>
      <c r="I30" s="2">
        <f t="shared" si="0"/>
        <v>-122.41379999999999</v>
      </c>
      <c r="J30" s="2" t="s">
        <v>116</v>
      </c>
      <c r="K30" s="2" t="s">
        <v>228</v>
      </c>
      <c r="L30" s="2"/>
      <c r="M30" s="3" t="s">
        <v>7</v>
      </c>
    </row>
    <row r="31" spans="1:13" x14ac:dyDescent="0.25">
      <c r="A31" s="1" t="s">
        <v>117</v>
      </c>
      <c r="B31" s="2" t="s">
        <v>118</v>
      </c>
      <c r="C31" s="2" t="str">
        <f t="shared" si="1"/>
        <v>38</v>
      </c>
      <c r="D31" s="2" t="str">
        <f t="shared" si="2"/>
        <v>01.122</v>
      </c>
      <c r="E31" s="2">
        <f t="shared" si="3"/>
        <v>38.018700000000003</v>
      </c>
      <c r="F31" s="2" t="s">
        <v>119</v>
      </c>
      <c r="G31" s="2" t="str">
        <f t="shared" si="4"/>
        <v>-122</v>
      </c>
      <c r="H31" s="2" t="str">
        <f t="shared" si="5"/>
        <v>25.800</v>
      </c>
      <c r="I31" s="2">
        <f t="shared" si="0"/>
        <v>-122.43</v>
      </c>
      <c r="J31" s="2" t="s">
        <v>120</v>
      </c>
      <c r="K31" s="2" t="s">
        <v>228</v>
      </c>
      <c r="L31" s="2"/>
      <c r="M31" s="3" t="s">
        <v>7</v>
      </c>
    </row>
    <row r="32" spans="1:13" x14ac:dyDescent="0.25">
      <c r="A32" s="1" t="s">
        <v>121</v>
      </c>
      <c r="B32" s="2" t="s">
        <v>122</v>
      </c>
      <c r="C32" s="2" t="str">
        <f t="shared" si="1"/>
        <v>37</v>
      </c>
      <c r="D32" s="2" t="str">
        <f t="shared" si="2"/>
        <v>58.950</v>
      </c>
      <c r="E32" s="2">
        <f t="shared" si="3"/>
        <v>37.982500000000002</v>
      </c>
      <c r="F32" s="2" t="s">
        <v>123</v>
      </c>
      <c r="G32" s="2" t="str">
        <f t="shared" si="4"/>
        <v>-122</v>
      </c>
      <c r="H32" s="2" t="str">
        <f t="shared" si="5"/>
        <v>24.720</v>
      </c>
      <c r="I32" s="2">
        <f t="shared" si="0"/>
        <v>-122.41200000000001</v>
      </c>
      <c r="J32" s="2" t="s">
        <v>124</v>
      </c>
      <c r="K32" s="2" t="s">
        <v>228</v>
      </c>
      <c r="L32" s="2"/>
      <c r="M32" s="3" t="s">
        <v>125</v>
      </c>
    </row>
    <row r="33" spans="1:13" x14ac:dyDescent="0.25">
      <c r="A33" s="1" t="s">
        <v>126</v>
      </c>
      <c r="B33" s="2" t="s">
        <v>127</v>
      </c>
      <c r="C33" s="2" t="str">
        <f t="shared" si="1"/>
        <v>38</v>
      </c>
      <c r="D33" s="2" t="str">
        <f t="shared" si="2"/>
        <v>01.800</v>
      </c>
      <c r="E33" s="2">
        <f t="shared" si="3"/>
        <v>38.03</v>
      </c>
      <c r="F33" s="2" t="s">
        <v>128</v>
      </c>
      <c r="G33" s="2" t="str">
        <f t="shared" si="4"/>
        <v>-122</v>
      </c>
      <c r="H33" s="2" t="str">
        <f t="shared" si="5"/>
        <v>22.302</v>
      </c>
      <c r="I33" s="2">
        <f t="shared" si="0"/>
        <v>-122.3717</v>
      </c>
      <c r="J33" s="2" t="s">
        <v>129</v>
      </c>
      <c r="K33" s="2" t="s">
        <v>228</v>
      </c>
      <c r="L33" s="2"/>
      <c r="M33" s="3" t="s">
        <v>7</v>
      </c>
    </row>
    <row r="34" spans="1:13" x14ac:dyDescent="0.25">
      <c r="A34" s="1" t="s">
        <v>130</v>
      </c>
      <c r="B34" s="2" t="s">
        <v>131</v>
      </c>
      <c r="C34" s="2" t="str">
        <f t="shared" si="1"/>
        <v>38</v>
      </c>
      <c r="D34" s="2" t="str">
        <f t="shared" si="2"/>
        <v>02.420</v>
      </c>
      <c r="E34" s="2">
        <f t="shared" si="3"/>
        <v>38.040333333333336</v>
      </c>
      <c r="F34" s="2" t="s">
        <v>104</v>
      </c>
      <c r="G34" s="2" t="str">
        <f t="shared" si="4"/>
        <v>-122</v>
      </c>
      <c r="H34" s="2" t="str">
        <f t="shared" si="5"/>
        <v>17.130</v>
      </c>
      <c r="I34" s="2">
        <f t="shared" si="0"/>
        <v>-122.2855</v>
      </c>
      <c r="J34" s="2" t="s">
        <v>132</v>
      </c>
      <c r="K34" s="2" t="s">
        <v>228</v>
      </c>
      <c r="L34" s="2"/>
      <c r="M34" s="3" t="s">
        <v>133</v>
      </c>
    </row>
    <row r="35" spans="1:13" x14ac:dyDescent="0.25">
      <c r="A35" s="1" t="s">
        <v>134</v>
      </c>
      <c r="B35" s="2" t="s">
        <v>135</v>
      </c>
      <c r="C35" s="2" t="str">
        <f t="shared" si="1"/>
        <v>37</v>
      </c>
      <c r="D35" s="2" t="str">
        <f t="shared" si="2"/>
        <v>59.850</v>
      </c>
      <c r="E35" s="2">
        <f t="shared" si="3"/>
        <v>37.997500000000002</v>
      </c>
      <c r="F35" s="2" t="s">
        <v>80</v>
      </c>
      <c r="G35" s="2" t="str">
        <f t="shared" si="4"/>
        <v>-122</v>
      </c>
      <c r="H35" s="2" t="str">
        <f t="shared" si="5"/>
        <v>25.452</v>
      </c>
      <c r="I35" s="2">
        <f t="shared" si="0"/>
        <v>-122.4242</v>
      </c>
      <c r="J35" s="2" t="s">
        <v>136</v>
      </c>
      <c r="K35" s="2" t="s">
        <v>228</v>
      </c>
      <c r="L35" s="2"/>
      <c r="M35" s="3" t="s">
        <v>7</v>
      </c>
    </row>
    <row r="36" spans="1:13" x14ac:dyDescent="0.25">
      <c r="A36" s="1" t="s">
        <v>137</v>
      </c>
      <c r="B36" s="2" t="s">
        <v>230</v>
      </c>
      <c r="C36" s="2" t="str">
        <f t="shared" si="1"/>
        <v>38</v>
      </c>
      <c r="D36" s="2" t="str">
        <f t="shared" si="2"/>
        <v>03.330</v>
      </c>
      <c r="E36" s="2">
        <f t="shared" si="3"/>
        <v>38.055500000000002</v>
      </c>
      <c r="F36" s="2" t="s">
        <v>138</v>
      </c>
      <c r="G36" s="2" t="str">
        <f t="shared" si="4"/>
        <v>-122</v>
      </c>
      <c r="H36" s="2" t="str">
        <f t="shared" si="5"/>
        <v>18.000</v>
      </c>
      <c r="I36" s="2">
        <f t="shared" si="0"/>
        <v>-122.3</v>
      </c>
      <c r="J36" s="2" t="s">
        <v>139</v>
      </c>
      <c r="K36" s="2" t="s">
        <v>228</v>
      </c>
      <c r="L36" s="2"/>
      <c r="M36" s="3" t="s">
        <v>7</v>
      </c>
    </row>
    <row r="37" spans="1:13" x14ac:dyDescent="0.25">
      <c r="A37" s="1" t="s">
        <v>140</v>
      </c>
      <c r="B37" s="2" t="s">
        <v>141</v>
      </c>
      <c r="C37" s="2" t="str">
        <f t="shared" si="1"/>
        <v>38</v>
      </c>
      <c r="D37" s="2" t="str">
        <f t="shared" si="2"/>
        <v>02.130</v>
      </c>
      <c r="E37" s="2">
        <f t="shared" si="3"/>
        <v>38.035499999999999</v>
      </c>
      <c r="F37" s="2" t="s">
        <v>142</v>
      </c>
      <c r="G37" s="2" t="str">
        <f t="shared" si="4"/>
        <v>-122</v>
      </c>
      <c r="H37" s="2" t="str">
        <f t="shared" si="5"/>
        <v>09.132</v>
      </c>
      <c r="I37" s="2">
        <f t="shared" si="0"/>
        <v>-122.15219999999999</v>
      </c>
      <c r="J37" s="2" t="s">
        <v>143</v>
      </c>
      <c r="K37" s="2" t="s">
        <v>229</v>
      </c>
      <c r="L37" s="2"/>
      <c r="M37" s="3" t="s">
        <v>7</v>
      </c>
    </row>
    <row r="38" spans="1:13" x14ac:dyDescent="0.25">
      <c r="A38" s="1" t="s">
        <v>144</v>
      </c>
      <c r="B38" s="2" t="s">
        <v>145</v>
      </c>
      <c r="C38" s="2" t="str">
        <f t="shared" si="1"/>
        <v>38</v>
      </c>
      <c r="D38" s="2" t="str">
        <f t="shared" si="2"/>
        <v>03.720</v>
      </c>
      <c r="E38" s="2">
        <f t="shared" si="3"/>
        <v>38.061999999999998</v>
      </c>
      <c r="F38" s="2" t="s">
        <v>146</v>
      </c>
      <c r="G38" s="2" t="str">
        <f t="shared" si="4"/>
        <v>-122</v>
      </c>
      <c r="H38" s="2" t="str">
        <f t="shared" si="5"/>
        <v>06.318</v>
      </c>
      <c r="I38" s="2">
        <f t="shared" si="0"/>
        <v>-122.1053</v>
      </c>
      <c r="J38" s="2" t="s">
        <v>147</v>
      </c>
      <c r="K38" s="2" t="s">
        <v>229</v>
      </c>
      <c r="L38" s="2"/>
      <c r="M38" s="3" t="s">
        <v>7</v>
      </c>
    </row>
    <row r="39" spans="1:13" x14ac:dyDescent="0.25">
      <c r="A39" s="1" t="s">
        <v>148</v>
      </c>
      <c r="B39" s="2" t="s">
        <v>149</v>
      </c>
      <c r="C39" s="2" t="str">
        <f t="shared" si="1"/>
        <v>38</v>
      </c>
      <c r="D39" s="2" t="str">
        <f t="shared" si="2"/>
        <v>05.150</v>
      </c>
      <c r="E39" s="2">
        <f t="shared" si="3"/>
        <v>38.085833333333333</v>
      </c>
      <c r="F39" s="2" t="s">
        <v>150</v>
      </c>
      <c r="G39" s="2" t="str">
        <f t="shared" si="4"/>
        <v>-122</v>
      </c>
      <c r="H39" s="2" t="str">
        <f t="shared" si="5"/>
        <v>04.610</v>
      </c>
      <c r="I39" s="2">
        <f t="shared" si="0"/>
        <v>-122.07683333333334</v>
      </c>
      <c r="J39" s="2" t="s">
        <v>151</v>
      </c>
      <c r="K39" s="2" t="s">
        <v>229</v>
      </c>
      <c r="L39" s="2"/>
      <c r="M39" s="3" t="s">
        <v>7</v>
      </c>
    </row>
    <row r="40" spans="1:13" x14ac:dyDescent="0.25">
      <c r="A40" s="1" t="s">
        <v>152</v>
      </c>
      <c r="B40" s="2" t="s">
        <v>153</v>
      </c>
      <c r="C40" s="2" t="str">
        <f t="shared" si="1"/>
        <v>38</v>
      </c>
      <c r="D40" s="2" t="str">
        <f t="shared" si="2"/>
        <v>06.492</v>
      </c>
      <c r="E40" s="2">
        <f t="shared" si="3"/>
        <v>38.108199999999997</v>
      </c>
      <c r="F40" s="2" t="s">
        <v>154</v>
      </c>
      <c r="G40" s="2" t="str">
        <f t="shared" si="4"/>
        <v>-122</v>
      </c>
      <c r="H40" s="2" t="str">
        <f t="shared" si="5"/>
        <v>03.300</v>
      </c>
      <c r="I40" s="2">
        <f t="shared" si="0"/>
        <v>-122.05500000000001</v>
      </c>
      <c r="J40" s="2" t="s">
        <v>155</v>
      </c>
      <c r="K40" s="2" t="s">
        <v>229</v>
      </c>
      <c r="L40" s="2"/>
      <c r="M40" s="3" t="s">
        <v>7</v>
      </c>
    </row>
    <row r="41" spans="1:13" x14ac:dyDescent="0.25">
      <c r="A41" s="1" t="s">
        <v>156</v>
      </c>
      <c r="B41" s="2" t="s">
        <v>157</v>
      </c>
      <c r="C41" s="2" t="str">
        <f t="shared" si="1"/>
        <v>38</v>
      </c>
      <c r="D41" s="2" t="str">
        <f t="shared" si="2"/>
        <v>06.312</v>
      </c>
      <c r="E41" s="2">
        <f t="shared" si="3"/>
        <v>38.105200000000004</v>
      </c>
      <c r="F41" s="2" t="s">
        <v>158</v>
      </c>
      <c r="G41" s="2" t="str">
        <f t="shared" si="4"/>
        <v>-122</v>
      </c>
      <c r="H41" s="2" t="str">
        <f t="shared" si="5"/>
        <v>01.680</v>
      </c>
      <c r="I41" s="2">
        <f t="shared" si="0"/>
        <v>-122.02800000000001</v>
      </c>
      <c r="J41" s="2" t="s">
        <v>159</v>
      </c>
      <c r="K41" s="2" t="s">
        <v>229</v>
      </c>
      <c r="L41" s="2"/>
      <c r="M41" s="3" t="s">
        <v>7</v>
      </c>
    </row>
    <row r="42" spans="1:13" x14ac:dyDescent="0.25">
      <c r="A42" s="1" t="s">
        <v>160</v>
      </c>
      <c r="B42" s="2" t="s">
        <v>161</v>
      </c>
      <c r="C42" s="2" t="str">
        <f t="shared" si="1"/>
        <v>38</v>
      </c>
      <c r="D42" s="2" t="str">
        <f t="shared" si="2"/>
        <v>02.550</v>
      </c>
      <c r="E42" s="2">
        <f t="shared" si="3"/>
        <v>38.042499999999997</v>
      </c>
      <c r="F42" s="2" t="s">
        <v>162</v>
      </c>
      <c r="G42" s="2" t="str">
        <f t="shared" si="4"/>
        <v>-122</v>
      </c>
      <c r="H42" s="2" t="str">
        <f t="shared" si="5"/>
        <v>06.480</v>
      </c>
      <c r="I42" s="2">
        <f t="shared" si="0"/>
        <v>-122.108</v>
      </c>
      <c r="J42" s="2" t="s">
        <v>163</v>
      </c>
      <c r="K42" s="2" t="s">
        <v>229</v>
      </c>
      <c r="L42" s="2"/>
      <c r="M42" s="3" t="s">
        <v>7</v>
      </c>
    </row>
    <row r="43" spans="1:13" x14ac:dyDescent="0.25">
      <c r="A43" s="1" t="s">
        <v>164</v>
      </c>
      <c r="B43" s="2" t="s">
        <v>165</v>
      </c>
      <c r="C43" s="2" t="str">
        <f t="shared" si="1"/>
        <v>38</v>
      </c>
      <c r="D43" s="2" t="str">
        <f t="shared" si="2"/>
        <v>03.607</v>
      </c>
      <c r="E43" s="2">
        <f t="shared" si="3"/>
        <v>38.060116666666666</v>
      </c>
      <c r="F43" s="2" t="s">
        <v>166</v>
      </c>
      <c r="G43" s="2" t="str">
        <f t="shared" si="4"/>
        <v>-121</v>
      </c>
      <c r="H43" s="2" t="str">
        <f t="shared" si="5"/>
        <v>58.969</v>
      </c>
      <c r="I43" s="2">
        <f t="shared" si="0"/>
        <v>-121.98281666666666</v>
      </c>
      <c r="J43" s="2" t="s">
        <v>167</v>
      </c>
      <c r="K43" s="2" t="s">
        <v>229</v>
      </c>
      <c r="L43" s="2"/>
      <c r="M43" s="3" t="s">
        <v>7</v>
      </c>
    </row>
    <row r="44" spans="1:13" x14ac:dyDescent="0.25">
      <c r="A44" s="1" t="s">
        <v>168</v>
      </c>
      <c r="B44" s="2" t="s">
        <v>169</v>
      </c>
      <c r="C44" s="2" t="str">
        <f t="shared" si="1"/>
        <v>38</v>
      </c>
      <c r="D44" s="2" t="str">
        <f t="shared" si="2"/>
        <v>03.355</v>
      </c>
      <c r="E44" s="2">
        <f t="shared" si="3"/>
        <v>38.055916666666668</v>
      </c>
      <c r="F44" s="2" t="s">
        <v>170</v>
      </c>
      <c r="G44" s="2" t="str">
        <f t="shared" si="4"/>
        <v>-122</v>
      </c>
      <c r="H44" s="2" t="str">
        <f t="shared" si="5"/>
        <v>10.700</v>
      </c>
      <c r="I44" s="2">
        <f t="shared" si="0"/>
        <v>-122.17833333333333</v>
      </c>
      <c r="J44" s="2" t="s">
        <v>171</v>
      </c>
      <c r="K44" s="2" t="s">
        <v>229</v>
      </c>
      <c r="L44" s="2"/>
      <c r="M44" s="3" t="s">
        <v>7</v>
      </c>
    </row>
    <row r="45" spans="1:13" x14ac:dyDescent="0.25">
      <c r="A45" s="1" t="s">
        <v>172</v>
      </c>
      <c r="B45" s="2" t="s">
        <v>173</v>
      </c>
      <c r="C45" s="2" t="str">
        <f t="shared" si="1"/>
        <v>38</v>
      </c>
      <c r="D45" s="2" t="str">
        <f t="shared" si="2"/>
        <v>04.287</v>
      </c>
      <c r="E45" s="2">
        <f t="shared" si="3"/>
        <v>38.071449999999999</v>
      </c>
      <c r="F45" s="2" t="s">
        <v>174</v>
      </c>
      <c r="G45" s="2" t="str">
        <f t="shared" si="4"/>
        <v>-121</v>
      </c>
      <c r="H45" s="2" t="str">
        <f t="shared" si="5"/>
        <v>57.372</v>
      </c>
      <c r="I45" s="2">
        <f t="shared" si="0"/>
        <v>-121.9562</v>
      </c>
      <c r="J45" s="2" t="s">
        <v>175</v>
      </c>
      <c r="K45" s="2" t="s">
        <v>229</v>
      </c>
      <c r="L45" s="2"/>
      <c r="M45" s="3" t="s">
        <v>7</v>
      </c>
    </row>
    <row r="46" spans="1:13" x14ac:dyDescent="0.25">
      <c r="A46" s="4">
        <v>535</v>
      </c>
      <c r="B46" s="2" t="s">
        <v>176</v>
      </c>
      <c r="C46" s="2" t="str">
        <f t="shared" si="1"/>
        <v>38</v>
      </c>
      <c r="D46" s="2" t="str">
        <f t="shared" si="2"/>
        <v>02.839</v>
      </c>
      <c r="E46" s="2">
        <f t="shared" si="3"/>
        <v>38.047316666666667</v>
      </c>
      <c r="F46" s="2" t="s">
        <v>177</v>
      </c>
      <c r="G46" s="2" t="str">
        <f t="shared" si="4"/>
        <v>-121</v>
      </c>
      <c r="H46" s="2" t="str">
        <f t="shared" si="5"/>
        <v>55.060</v>
      </c>
      <c r="I46" s="2">
        <f t="shared" si="0"/>
        <v>-121.91766666666666</v>
      </c>
      <c r="J46" s="2" t="s">
        <v>178</v>
      </c>
      <c r="K46" s="2" t="s">
        <v>237</v>
      </c>
      <c r="L46" s="2"/>
      <c r="M46" s="3" t="s">
        <v>7</v>
      </c>
    </row>
    <row r="47" spans="1:13" x14ac:dyDescent="0.25">
      <c r="A47" s="1" t="s">
        <v>179</v>
      </c>
      <c r="B47" s="2" t="s">
        <v>180</v>
      </c>
      <c r="C47" s="2" t="str">
        <f t="shared" si="1"/>
        <v>38</v>
      </c>
      <c r="D47" s="2" t="str">
        <f t="shared" si="2"/>
        <v>03.62</v>
      </c>
      <c r="E47" s="2">
        <f t="shared" si="3"/>
        <v>38.060333333333332</v>
      </c>
      <c r="F47" s="2" t="s">
        <v>181</v>
      </c>
      <c r="G47" s="2" t="str">
        <f t="shared" si="4"/>
        <v>-121</v>
      </c>
      <c r="H47" s="2" t="str">
        <f t="shared" si="5"/>
        <v>48.260</v>
      </c>
      <c r="I47" s="2">
        <f t="shared" si="0"/>
        <v>-121.80433333333333</v>
      </c>
      <c r="J47" s="2" t="s">
        <v>182</v>
      </c>
      <c r="K47" s="2" t="s">
        <v>237</v>
      </c>
      <c r="L47" s="2"/>
      <c r="M47" s="3" t="s">
        <v>7</v>
      </c>
    </row>
    <row r="48" spans="1:13" x14ac:dyDescent="0.25">
      <c r="A48" s="1" t="s">
        <v>183</v>
      </c>
      <c r="B48" s="2" t="s">
        <v>184</v>
      </c>
      <c r="C48" s="2" t="str">
        <f t="shared" si="1"/>
        <v>38</v>
      </c>
      <c r="D48" s="2" t="str">
        <f t="shared" si="2"/>
        <v>05.08</v>
      </c>
      <c r="E48" s="2">
        <f t="shared" si="3"/>
        <v>38.084666666666664</v>
      </c>
      <c r="F48" s="2" t="s">
        <v>185</v>
      </c>
      <c r="G48" s="2" t="str">
        <f t="shared" si="4"/>
        <v>-121</v>
      </c>
      <c r="H48" s="2" t="str">
        <f t="shared" si="5"/>
        <v>45.000</v>
      </c>
      <c r="I48" s="2">
        <f t="shared" si="0"/>
        <v>-121.75</v>
      </c>
      <c r="J48" s="2" t="s">
        <v>186</v>
      </c>
      <c r="K48" s="2" t="s">
        <v>237</v>
      </c>
      <c r="L48" s="2"/>
      <c r="M48" s="3" t="s">
        <v>7</v>
      </c>
    </row>
    <row r="49" spans="1:13" x14ac:dyDescent="0.25">
      <c r="A49" s="1" t="s">
        <v>187</v>
      </c>
      <c r="B49" s="2" t="s">
        <v>188</v>
      </c>
      <c r="C49" s="2" t="str">
        <f t="shared" si="1"/>
        <v>38</v>
      </c>
      <c r="D49" s="2" t="str">
        <f t="shared" si="2"/>
        <v>06.330</v>
      </c>
      <c r="E49" s="2">
        <f t="shared" si="3"/>
        <v>38.105499999999999</v>
      </c>
      <c r="F49" s="2" t="s">
        <v>189</v>
      </c>
      <c r="G49" s="2" t="str">
        <f t="shared" si="4"/>
        <v>-121</v>
      </c>
      <c r="H49" s="2" t="str">
        <f t="shared" si="5"/>
        <v>43.020</v>
      </c>
      <c r="I49" s="2">
        <f t="shared" si="0"/>
        <v>-121.717</v>
      </c>
      <c r="J49" s="2" t="s">
        <v>190</v>
      </c>
      <c r="K49" s="2" t="s">
        <v>237</v>
      </c>
      <c r="L49" s="2"/>
      <c r="M49" s="3" t="s">
        <v>191</v>
      </c>
    </row>
    <row r="50" spans="1:13" x14ac:dyDescent="0.25">
      <c r="A50" s="1" t="s">
        <v>192</v>
      </c>
      <c r="B50" s="2" t="s">
        <v>193</v>
      </c>
      <c r="C50" s="2" t="str">
        <f t="shared" si="1"/>
        <v>38</v>
      </c>
      <c r="D50" s="2" t="str">
        <f t="shared" si="2"/>
        <v>06.252</v>
      </c>
      <c r="E50" s="2">
        <f t="shared" si="3"/>
        <v>38.104199999999999</v>
      </c>
      <c r="F50" s="2" t="s">
        <v>194</v>
      </c>
      <c r="G50" s="2" t="str">
        <f t="shared" si="4"/>
        <v>-121</v>
      </c>
      <c r="H50" s="2" t="str">
        <f t="shared" si="5"/>
        <v>42.750</v>
      </c>
      <c r="I50" s="2">
        <f t="shared" si="0"/>
        <v>-121.71250000000001</v>
      </c>
      <c r="J50" s="2" t="s">
        <v>195</v>
      </c>
      <c r="K50" s="2" t="s">
        <v>237</v>
      </c>
      <c r="L50" s="2"/>
      <c r="M50" s="3" t="s">
        <v>7</v>
      </c>
    </row>
    <row r="51" spans="1:13" x14ac:dyDescent="0.25">
      <c r="A51" s="1" t="s">
        <v>196</v>
      </c>
      <c r="B51" s="2" t="s">
        <v>197</v>
      </c>
      <c r="C51" s="2" t="str">
        <f t="shared" si="1"/>
        <v>38</v>
      </c>
      <c r="D51" s="2" t="str">
        <f t="shared" si="2"/>
        <v>09.140</v>
      </c>
      <c r="E51" s="2">
        <f t="shared" si="3"/>
        <v>38.152333333333331</v>
      </c>
      <c r="F51" s="2" t="s">
        <v>198</v>
      </c>
      <c r="G51" s="2" t="str">
        <f t="shared" si="4"/>
        <v>-121</v>
      </c>
      <c r="H51" s="2" t="str">
        <f t="shared" si="5"/>
        <v>41.090</v>
      </c>
      <c r="I51" s="2">
        <f t="shared" si="0"/>
        <v>-121.68483333333333</v>
      </c>
      <c r="J51" s="2" t="s">
        <v>199</v>
      </c>
      <c r="K51" s="2" t="s">
        <v>237</v>
      </c>
      <c r="L51" s="2"/>
      <c r="M51" s="3" t="s">
        <v>7</v>
      </c>
    </row>
    <row r="52" spans="1:13" x14ac:dyDescent="0.25">
      <c r="A52" s="1" t="s">
        <v>200</v>
      </c>
      <c r="B52" s="2" t="s">
        <v>231</v>
      </c>
      <c r="C52" s="2" t="str">
        <f t="shared" si="1"/>
        <v>38</v>
      </c>
      <c r="D52" s="2" t="str">
        <f t="shared" si="2"/>
        <v>10.070</v>
      </c>
      <c r="E52" s="2">
        <f t="shared" si="3"/>
        <v>38.167833333333334</v>
      </c>
      <c r="F52" s="2" t="s">
        <v>201</v>
      </c>
      <c r="G52" s="2" t="str">
        <f t="shared" si="4"/>
        <v>-121</v>
      </c>
      <c r="H52" s="2" t="str">
        <f t="shared" si="5"/>
        <v>40.630</v>
      </c>
      <c r="I52" s="2">
        <f t="shared" si="0"/>
        <v>-121.67716666666666</v>
      </c>
      <c r="J52" s="2" t="s">
        <v>202</v>
      </c>
      <c r="K52" s="2" t="s">
        <v>237</v>
      </c>
      <c r="L52" s="2"/>
      <c r="M52" s="3" t="s">
        <v>7</v>
      </c>
    </row>
    <row r="53" spans="1:13" x14ac:dyDescent="0.25">
      <c r="A53" s="1" t="s">
        <v>203</v>
      </c>
      <c r="B53" s="2" t="s">
        <v>232</v>
      </c>
      <c r="C53" s="2" t="str">
        <f t="shared" si="1"/>
        <v>38</v>
      </c>
      <c r="D53" s="2" t="str">
        <f t="shared" si="2"/>
        <v>10.500</v>
      </c>
      <c r="E53" s="2">
        <f t="shared" si="3"/>
        <v>38.174999999999997</v>
      </c>
      <c r="F53" s="2" t="s">
        <v>204</v>
      </c>
      <c r="G53" s="2" t="str">
        <f t="shared" si="4"/>
        <v>-121</v>
      </c>
      <c r="H53" s="2" t="str">
        <f t="shared" si="5"/>
        <v>39.420</v>
      </c>
      <c r="I53" s="2">
        <f t="shared" si="0"/>
        <v>-121.657</v>
      </c>
      <c r="J53" s="2" t="s">
        <v>205</v>
      </c>
      <c r="K53" s="2" t="s">
        <v>237</v>
      </c>
      <c r="L53" s="2"/>
      <c r="M53" s="3" t="s">
        <v>7</v>
      </c>
    </row>
    <row r="54" spans="1:13" x14ac:dyDescent="0.25">
      <c r="A54" s="1" t="s">
        <v>206</v>
      </c>
      <c r="B54" s="2" t="s">
        <v>207</v>
      </c>
      <c r="C54" s="2" t="str">
        <f t="shared" si="1"/>
        <v>38</v>
      </c>
      <c r="D54" s="2" t="str">
        <f t="shared" si="2"/>
        <v>01.470</v>
      </c>
      <c r="E54" s="2">
        <f t="shared" si="3"/>
        <v>38.024500000000003</v>
      </c>
      <c r="F54" s="2" t="s">
        <v>208</v>
      </c>
      <c r="G54" s="2" t="str">
        <f t="shared" si="4"/>
        <v>-121</v>
      </c>
      <c r="H54" s="2" t="str">
        <f t="shared" si="5"/>
        <v>45.600</v>
      </c>
      <c r="I54" s="2">
        <f t="shared" si="0"/>
        <v>-121.76</v>
      </c>
      <c r="J54" s="2" t="s">
        <v>209</v>
      </c>
      <c r="K54" s="2" t="s">
        <v>237</v>
      </c>
      <c r="L54" s="2"/>
      <c r="M54" s="3" t="s">
        <v>7</v>
      </c>
    </row>
    <row r="55" spans="1:13" x14ac:dyDescent="0.25">
      <c r="A55" s="1" t="s">
        <v>210</v>
      </c>
      <c r="B55" s="2" t="s">
        <v>211</v>
      </c>
      <c r="C55" s="2" t="str">
        <f t="shared" si="1"/>
        <v>38</v>
      </c>
      <c r="D55" s="2" t="str">
        <f t="shared" si="2"/>
        <v>01.710</v>
      </c>
      <c r="E55" s="2">
        <f t="shared" si="3"/>
        <v>38.028500000000001</v>
      </c>
      <c r="F55" s="2" t="s">
        <v>212</v>
      </c>
      <c r="G55" s="2" t="str">
        <f t="shared" si="4"/>
        <v>-121</v>
      </c>
      <c r="H55" s="2" t="str">
        <f t="shared" si="5"/>
        <v>44.220</v>
      </c>
      <c r="I55" s="2">
        <f t="shared" si="0"/>
        <v>-121.73699999999999</v>
      </c>
      <c r="J55" s="2" t="s">
        <v>213</v>
      </c>
      <c r="K55" s="2" t="s">
        <v>237</v>
      </c>
      <c r="L55" s="2"/>
      <c r="M55" s="3" t="s">
        <v>7</v>
      </c>
    </row>
    <row r="56" spans="1:13" x14ac:dyDescent="0.25">
      <c r="A56" s="1" t="s">
        <v>214</v>
      </c>
      <c r="B56" s="2" t="s">
        <v>215</v>
      </c>
      <c r="C56" s="2" t="str">
        <f t="shared" si="1"/>
        <v>38</v>
      </c>
      <c r="D56" s="2" t="str">
        <f t="shared" si="2"/>
        <v>05.487</v>
      </c>
      <c r="E56" s="2">
        <f t="shared" si="3"/>
        <v>38.091450000000002</v>
      </c>
      <c r="F56" s="2" t="s">
        <v>216</v>
      </c>
      <c r="G56" s="2" t="str">
        <f t="shared" si="4"/>
        <v>-121</v>
      </c>
      <c r="H56" s="2" t="str">
        <f t="shared" si="5"/>
        <v>39.066</v>
      </c>
      <c r="I56" s="2">
        <f t="shared" si="0"/>
        <v>-121.6511</v>
      </c>
      <c r="J56" s="2" t="s">
        <v>217</v>
      </c>
      <c r="K56" s="2" t="s">
        <v>237</v>
      </c>
      <c r="L56" s="2"/>
      <c r="M56" s="3" t="s">
        <v>7</v>
      </c>
    </row>
    <row r="57" spans="1:13" x14ac:dyDescent="0.25">
      <c r="A57" s="1" t="s">
        <v>218</v>
      </c>
      <c r="B57" s="2" t="s">
        <v>219</v>
      </c>
      <c r="C57" s="2" t="str">
        <f t="shared" si="1"/>
        <v>38</v>
      </c>
      <c r="D57" s="2" t="str">
        <f t="shared" si="2"/>
        <v>06.070</v>
      </c>
      <c r="E57" s="2">
        <f t="shared" si="3"/>
        <v>38.101166666666664</v>
      </c>
      <c r="F57" s="2" t="s">
        <v>220</v>
      </c>
      <c r="G57" s="2" t="str">
        <f t="shared" si="4"/>
        <v>-121</v>
      </c>
      <c r="H57" s="2" t="str">
        <f t="shared" si="5"/>
        <v>35.880</v>
      </c>
      <c r="I57" s="2">
        <f t="shared" si="0"/>
        <v>-121.598</v>
      </c>
      <c r="J57" s="2" t="s">
        <v>221</v>
      </c>
      <c r="K57" s="2" t="s">
        <v>237</v>
      </c>
      <c r="L57" s="2"/>
      <c r="M57" s="3" t="s">
        <v>7</v>
      </c>
    </row>
    <row r="58" spans="1:13" x14ac:dyDescent="0.25">
      <c r="A58" s="1" t="s">
        <v>222</v>
      </c>
      <c r="B58" s="2" t="s">
        <v>223</v>
      </c>
      <c r="C58" s="2" t="str">
        <f t="shared" si="1"/>
        <v>38</v>
      </c>
      <c r="D58" s="2" t="str">
        <f t="shared" si="2"/>
        <v>05.200</v>
      </c>
      <c r="E58" s="2">
        <f t="shared" si="3"/>
        <v>38.086666666666666</v>
      </c>
      <c r="F58" s="2" t="s">
        <v>224</v>
      </c>
      <c r="G58" s="2" t="str">
        <f t="shared" si="4"/>
        <v>-121</v>
      </c>
      <c r="H58" s="2" t="str">
        <f t="shared" si="5"/>
        <v>34.580</v>
      </c>
      <c r="I58" s="2">
        <f t="shared" si="0"/>
        <v>-121.57633333333334</v>
      </c>
      <c r="J58" s="2" t="s">
        <v>225</v>
      </c>
      <c r="K58" s="2" t="s">
        <v>237</v>
      </c>
      <c r="L58" s="2"/>
      <c r="M58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6F6BED04A5B48AB9F2AA941903DC5" ma:contentTypeVersion="10" ma:contentTypeDescription="Create a new document." ma:contentTypeScope="" ma:versionID="63768d3ba246ba192229efcee600ba30">
  <xsd:schema xmlns:xsd="http://www.w3.org/2001/XMLSchema" xmlns:xs="http://www.w3.org/2001/XMLSchema" xmlns:p="http://schemas.microsoft.com/office/2006/metadata/properties" xmlns:ns3="e738cafc-7481-49ce-9c95-dd3612ba4ef0" xmlns:ns4="35687513-bde5-4ae3-8e56-d4bf9a421132" targetNamespace="http://schemas.microsoft.com/office/2006/metadata/properties" ma:root="true" ma:fieldsID="e92eeec87c7c3d69e8063248041442ae" ns3:_="" ns4:_="">
    <xsd:import namespace="e738cafc-7481-49ce-9c95-dd3612ba4ef0"/>
    <xsd:import namespace="35687513-bde5-4ae3-8e56-d4bf9a4211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8cafc-7481-49ce-9c95-dd3612ba4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87513-bde5-4ae3-8e56-d4bf9a421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38cafc-7481-49ce-9c95-dd3612ba4ef0" xsi:nil="true"/>
  </documentManagement>
</p:properties>
</file>

<file path=customXml/itemProps1.xml><?xml version="1.0" encoding="utf-8"?>
<ds:datastoreItem xmlns:ds="http://schemas.openxmlformats.org/officeDocument/2006/customXml" ds:itemID="{A9306A27-4E02-44E8-A6E3-B5F55AF44F3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7B7513F-1C7E-4FCF-8C07-515E438C7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8cafc-7481-49ce-9c95-dd3612ba4ef0"/>
    <ds:schemaRef ds:uri="35687513-bde5-4ae3-8e56-d4bf9a421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E60D62-CDDB-4559-AA1F-8A80CC9709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A56F6D-636F-4A2E-B35D-EA7BD97CD47D}">
  <ds:schemaRefs>
    <ds:schemaRef ds:uri="http://schemas.openxmlformats.org/package/2006/metadata/core-properties"/>
    <ds:schemaRef ds:uri="http://purl.org/dc/terms/"/>
    <ds:schemaRef ds:uri="e738cafc-7481-49ce-9c95-dd3612ba4ef0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35687513-bde5-4ae3-8e56-d4bf9a42113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Enoch@Wildlife</dc:creator>
  <cp:lastModifiedBy>Osborn, Katherine (Katie)@DWR</cp:lastModifiedBy>
  <dcterms:created xsi:type="dcterms:W3CDTF">2023-03-20T17:04:53Z</dcterms:created>
  <dcterms:modified xsi:type="dcterms:W3CDTF">2025-12-17T22:45:17Z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0x0101002936F6BED04A5B48AB9F2AA941903DC5</vt:lpwstr>
  </property>
</Properties>
</file>